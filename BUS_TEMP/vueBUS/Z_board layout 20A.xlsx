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P80" i="1" l="1"/>
  <c r="R75" i="1"/>
  <c r="H79" i="1"/>
  <c r="D86" i="1"/>
  <c r="D85" i="1"/>
  <c r="D83" i="1"/>
  <c r="D82" i="1"/>
  <c r="J80" i="1"/>
  <c r="J79" i="1"/>
  <c r="H80" i="1"/>
  <c r="E80" i="1"/>
  <c r="E79" i="1"/>
</calcChain>
</file>

<file path=xl/sharedStrings.xml><?xml version="1.0" encoding="utf-8"?>
<sst xmlns="http://schemas.openxmlformats.org/spreadsheetml/2006/main" count="79" uniqueCount="79">
  <si>
    <t>showd = 4</t>
  </si>
  <si>
    <t>stroke width = 9</t>
  </si>
  <si>
    <t>13px, but split between horiz and along</t>
  </si>
  <si>
    <t>DIFF</t>
  </si>
  <si>
    <t>X</t>
  </si>
  <si>
    <t>Y</t>
  </si>
  <si>
    <t>OLD</t>
  </si>
  <si>
    <t>NEW</t>
  </si>
  <si>
    <t>so percent of 3200 x 270 to take off</t>
  </si>
  <si>
    <t>0</t>
  </si>
  <si>
    <t>1210,272,1784,387</t>
  </si>
  <si>
    <t>1938,384,2337,284</t>
  </si>
  <si>
    <t>2512,271,2845.371</t>
  </si>
  <si>
    <t>552,437,567,870</t>
  </si>
  <si>
    <t>608,403,794,583</t>
  </si>
  <si>
    <t>1146,385,1220,653</t>
  </si>
  <si>
    <t>1198,341,1553,693</t>
  </si>
  <si>
    <t>1638,711,1808,472</t>
  </si>
  <si>
    <t>1963,454,2357,672</t>
  </si>
  <si>
    <t>2579,656,2836,440</t>
  </si>
  <si>
    <t>2937,501,2991,847</t>
  </si>
  <si>
    <t>600,879,767.692</t>
  </si>
  <si>
    <t>904,641,1148,694</t>
  </si>
  <si>
    <t>1287,718,1523,749</t>
  </si>
  <si>
    <t>1653,819,1776,1047</t>
  </si>
  <si>
    <t>2134,864,2337,793</t>
  </si>
  <si>
    <t>2623,793,2919,893</t>
  </si>
  <si>
    <t>615,1031,756,1283</t>
  </si>
  <si>
    <t>2463,336,2486,626</t>
  </si>
  <si>
    <t>643,971,1003,1084</t>
  </si>
  <si>
    <t>1085,1061,1176,800</t>
  </si>
  <si>
    <t>1192,1114,1680,1128</t>
  </si>
  <si>
    <t>1868,1074,1997,938</t>
  </si>
  <si>
    <t>2128,953,2429,1195</t>
  </si>
  <si>
    <t>2609,894,2862,1207</t>
  </si>
  <si>
    <t>815,1296,1013,1156</t>
  </si>
  <si>
    <t>1153,1187,1370,1430</t>
  </si>
  <si>
    <t>1488,1432,1727,1203</t>
  </si>
  <si>
    <t>1896,1177,2074,1272</t>
  </si>
  <si>
    <t>2224,1294,2416,1263</t>
  </si>
  <si>
    <t>626,1725,728,1427</t>
  </si>
  <si>
    <t>839,1408,1024,1652</t>
  </si>
  <si>
    <t>1116,1674,1335,1547</t>
  </si>
  <si>
    <t>1523,1560,1773,1715</t>
  </si>
  <si>
    <t>1889,1689,2062,1410</t>
  </si>
  <si>
    <t>2552,1336,2747,1670</t>
  </si>
  <si>
    <t>2573,1254,2829,1267</t>
  </si>
  <si>
    <t>2497,902,2507,1194</t>
  </si>
  <si>
    <t>1920,515,2034,817</t>
  </si>
  <si>
    <t>2353,1636,2448,1344</t>
  </si>
  <si>
    <t>2779,1667,0864,1362</t>
  </si>
  <si>
    <t>491,2162,582,1870</t>
  </si>
  <si>
    <t>679,1849,797,2072</t>
  </si>
  <si>
    <t>886,2069,1010,1784</t>
  </si>
  <si>
    <t>1127,1770,1355,1998</t>
  </si>
  <si>
    <t>1440,2007,1739,1831</t>
  </si>
  <si>
    <t>1945,1754,2261,1704</t>
  </si>
  <si>
    <t>2421,1698,2707,1732</t>
  </si>
  <si>
    <t>542,2217,714,2200</t>
  </si>
  <si>
    <t>1478,20821708,2191</t>
  </si>
  <si>
    <t>1761,2163,1814,1892</t>
  </si>
  <si>
    <t>1922,1878,2081,2172</t>
  </si>
  <si>
    <t>2153,21922335,2100</t>
  </si>
  <si>
    <t>2375,1778,2404,2026</t>
  </si>
  <si>
    <t>2474,2084,2797,2116</t>
  </si>
  <si>
    <t>2808,1809,2884,2072</t>
  </si>
  <si>
    <t>573,2429,732,2284</t>
  </si>
  <si>
    <t>874,2346890,2608</t>
  </si>
  <si>
    <t>983,2282,1205,2449</t>
  </si>
  <si>
    <t>1264,2442,1348,2137</t>
  </si>
  <si>
    <t>1452,2144,1659,2549</t>
  </si>
  <si>
    <t>1690,2541.1734,2298</t>
  </si>
  <si>
    <t>617,2506,825,2628</t>
  </si>
  <si>
    <t>938,2635,1189,2526</t>
  </si>
  <si>
    <t>1750,2557,2029,2280</t>
  </si>
  <si>
    <t>2176,2274,2464,2487</t>
  </si>
  <si>
    <t>2545,2480,2818,2187</t>
  </si>
  <si>
    <t>992,2147,1292,2068</t>
  </si>
  <si>
    <t>1343,2521,1616,2603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</si>
</sst>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49" fontId="0" fillId="0" borderId="0" xfId="0" applyNumberFormat="1" applyProtection="1">
      <protection locked="0"/>
    </xf>
    <xf numFmtId="49" fontId="0" fillId="3" borderId="0" xfId="0" applyNumberFormat="1" applyFill="1" applyProtection="1">
      <protection locked="0"/>
    </xf>
    <xf numFmtId="49" fontId="0" fillId="2" borderId="0" xfId="0" applyNumberFormat="1" applyFill="1" applyProtection="1">
      <protection locked="0"/>
    </xf>
    <xf numFmtId="49" fontId="0" fillId="2" borderId="0" xfId="0" quotePrefix="1" applyNumberFormat="1" applyFill="1" applyProtection="1">
      <protection locked="0"/>
    </xf>
    <xf numFmtId="49" fontId="0" fillId="0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8"/>
  <sheetViews>
    <sheetView tabSelected="1" workbookViewId="0">
      <selection activeCell="T45" sqref="T45"/>
    </sheetView>
  </sheetViews>
  <sheetFormatPr defaultRowHeight="15" x14ac:dyDescent="0.25"/>
  <cols>
    <col min="1" max="7" width="9.140625" style="1"/>
    <col min="8" max="9" width="9.140625" style="1" customWidth="1"/>
    <col min="10" max="12" width="9.140625" style="1"/>
    <col min="13" max="13" width="9.140625" style="1" customWidth="1"/>
    <col min="14" max="15" width="9.140625" style="1"/>
    <col min="16" max="16" width="9.140625" style="1" customWidth="1"/>
    <col min="17" max="18" width="9.140625" style="1"/>
    <col min="19" max="19" width="9.5703125" style="1" customWidth="1"/>
    <col min="20" max="20" width="9.140625" style="1" customWidth="1"/>
    <col min="21" max="21" width="9.140625" style="1"/>
    <col min="22" max="22" width="9.42578125" style="1" customWidth="1"/>
    <col min="23" max="16384" width="9.140625" style="1"/>
  </cols>
  <sheetData>
    <row r="1" spans="1:24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>
        <v>3</v>
      </c>
      <c r="S3" s="3"/>
      <c r="T3" s="3"/>
      <c r="U3" s="3"/>
      <c r="V3" s="3"/>
      <c r="W3" s="3"/>
      <c r="X3" s="3"/>
    </row>
    <row r="4" spans="1:24" x14ac:dyDescent="0.25">
      <c r="A4" s="3"/>
      <c r="B4" s="3"/>
      <c r="C4" s="3"/>
      <c r="D4" s="4">
        <v>0</v>
      </c>
      <c r="E4" s="3"/>
      <c r="F4" s="3"/>
      <c r="G4" s="3"/>
      <c r="H4" s="3"/>
      <c r="I4" s="4">
        <v>1</v>
      </c>
      <c r="J4" s="3"/>
      <c r="K4" s="3"/>
      <c r="L4" s="3"/>
      <c r="M4" s="3"/>
      <c r="N4" s="3"/>
      <c r="O4" s="3"/>
      <c r="P4" s="3"/>
      <c r="Q4" s="3"/>
      <c r="R4" s="4"/>
      <c r="S4" s="3"/>
      <c r="T4" s="3"/>
      <c r="U4" s="3"/>
      <c r="V4" s="3"/>
      <c r="W4" s="3"/>
      <c r="X4" s="3"/>
    </row>
    <row r="5" spans="1:24" x14ac:dyDescent="0.25">
      <c r="A5" s="3"/>
      <c r="B5" s="3"/>
      <c r="C5" s="3"/>
      <c r="D5" s="4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3"/>
      <c r="B6" s="3"/>
      <c r="C6" s="3"/>
      <c r="D6" s="3"/>
      <c r="E6" s="5" t="s">
        <v>9</v>
      </c>
      <c r="F6"/>
      <c r="G6" s="3"/>
      <c r="H6" s="3"/>
      <c r="I6" s="3"/>
      <c r="J6" s="3"/>
      <c r="K6" s="3"/>
      <c r="L6" s="3"/>
      <c r="M6" s="4">
        <v>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3"/>
      <c r="B7" s="3"/>
      <c r="C7" s="3"/>
      <c r="D7" s="3"/>
      <c r="E7" s="5"/>
      <c r="F7" s="3"/>
      <c r="G7" s="3"/>
      <c r="H7" s="3"/>
      <c r="I7" s="3"/>
      <c r="J7" s="6">
        <v>1</v>
      </c>
      <c r="K7"/>
      <c r="L7" s="3"/>
      <c r="M7" s="4"/>
      <c r="N7" s="3"/>
      <c r="O7" s="3"/>
      <c r="P7" s="5">
        <v>2</v>
      </c>
      <c r="Q7" s="3"/>
      <c r="R7" s="3"/>
      <c r="S7" s="3"/>
      <c r="T7" s="5">
        <v>3</v>
      </c>
      <c r="U7" s="3"/>
      <c r="V7" s="4">
        <v>4</v>
      </c>
      <c r="W7" s="3"/>
      <c r="X7" s="3"/>
    </row>
    <row r="8" spans="1:24" x14ac:dyDescent="0.25">
      <c r="A8" s="3"/>
      <c r="B8" s="3"/>
      <c r="C8" s="3"/>
      <c r="D8" s="3"/>
      <c r="E8" s="3"/>
      <c r="F8" s="3"/>
      <c r="G8" s="3"/>
      <c r="H8" s="3"/>
      <c r="I8" s="3"/>
      <c r="J8" s="5" t="s">
        <v>10</v>
      </c>
      <c r="K8" s="3"/>
      <c r="L8" s="3"/>
      <c r="M8" s="3"/>
      <c r="N8" s="3"/>
      <c r="O8" s="3"/>
      <c r="P8" s="5" t="s">
        <v>11</v>
      </c>
      <c r="Q8" s="3"/>
      <c r="R8" s="3"/>
      <c r="S8" s="3"/>
      <c r="T8" s="5" t="s">
        <v>12</v>
      </c>
      <c r="U8" s="3"/>
      <c r="V8" s="4"/>
      <c r="W8" s="3"/>
      <c r="X8" s="3"/>
    </row>
    <row r="9" spans="1:24" x14ac:dyDescent="0.25">
      <c r="A9" s="3"/>
      <c r="B9" s="3"/>
      <c r="C9" s="3"/>
      <c r="D9" s="3"/>
      <c r="E9" s="3"/>
      <c r="F9" s="3"/>
      <c r="G9" s="3"/>
      <c r="H9" s="3"/>
      <c r="I9" s="5">
        <v>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3"/>
      <c r="B10" s="3"/>
      <c r="C10" s="3"/>
      <c r="D10" s="3"/>
      <c r="E10" s="3"/>
      <c r="F10" s="3"/>
      <c r="G10" s="3"/>
      <c r="H10" s="3"/>
      <c r="I10" s="5" t="s">
        <v>16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3"/>
      <c r="B11" s="3"/>
      <c r="C11" s="3"/>
      <c r="D11" s="3"/>
      <c r="E11" s="3"/>
      <c r="F11" s="3"/>
      <c r="G11" s="3"/>
      <c r="H11" s="5">
        <v>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5">
        <v>10</v>
      </c>
      <c r="T11" s="3"/>
      <c r="U11" s="3"/>
      <c r="V11" s="3"/>
      <c r="W11" s="3"/>
      <c r="X11" s="3"/>
    </row>
    <row r="12" spans="1:24" x14ac:dyDescent="0.25">
      <c r="A12" s="3"/>
      <c r="B12" s="3"/>
      <c r="C12" s="3"/>
      <c r="D12" s="3"/>
      <c r="E12" s="5">
        <v>5</v>
      </c>
      <c r="F12" s="4">
        <v>6</v>
      </c>
      <c r="G12" s="3"/>
      <c r="H12" s="5" t="s">
        <v>15</v>
      </c>
      <c r="I12" s="3"/>
      <c r="J12" s="3"/>
      <c r="K12" s="3"/>
      <c r="L12" s="3"/>
      <c r="M12" s="5">
        <v>8</v>
      </c>
      <c r="N12" s="3"/>
      <c r="O12" s="3"/>
      <c r="P12" s="3"/>
      <c r="Q12" s="3"/>
      <c r="R12" s="3"/>
      <c r="S12" s="5" t="s">
        <v>28</v>
      </c>
      <c r="T12" s="3"/>
      <c r="U12" s="3"/>
      <c r="V12" s="3"/>
      <c r="W12" s="3"/>
      <c r="X12" s="3"/>
    </row>
    <row r="13" spans="1:24" x14ac:dyDescent="0.25">
      <c r="A13" s="3"/>
      <c r="B13" s="3"/>
      <c r="C13" s="5">
        <v>4</v>
      </c>
      <c r="D13" s="3"/>
      <c r="E13" s="5" t="s">
        <v>14</v>
      </c>
      <c r="F13" s="4"/>
      <c r="G13" s="3"/>
      <c r="H13" s="4">
        <v>7</v>
      </c>
      <c r="I13" s="3"/>
      <c r="J13" s="3"/>
      <c r="K13" s="3"/>
      <c r="L13" s="3"/>
      <c r="M13" s="5" t="s">
        <v>17</v>
      </c>
      <c r="N13" s="3"/>
      <c r="O13" s="3"/>
      <c r="P13" s="5">
        <v>9</v>
      </c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3"/>
      <c r="B14" s="3"/>
      <c r="C14" s="5" t="s">
        <v>13</v>
      </c>
      <c r="D14" s="3"/>
      <c r="E14" s="3"/>
      <c r="F14" s="3"/>
      <c r="G14" s="3"/>
      <c r="H14" s="4"/>
      <c r="I14" s="3"/>
      <c r="J14" s="3"/>
      <c r="K14" s="3"/>
      <c r="L14" s="3"/>
      <c r="M14" s="3"/>
      <c r="N14" s="3"/>
      <c r="O14" s="3"/>
      <c r="P14" s="5" t="s">
        <v>18</v>
      </c>
      <c r="Q14" s="3"/>
      <c r="R14" s="3"/>
      <c r="S14" s="3"/>
      <c r="T14" s="5">
        <v>11</v>
      </c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5">
        <v>14</v>
      </c>
      <c r="G15" s="5" t="s">
        <v>22</v>
      </c>
      <c r="H15" s="3"/>
      <c r="I15" s="3"/>
      <c r="J15" s="3"/>
      <c r="K15" s="4">
        <v>8</v>
      </c>
      <c r="L15" s="3"/>
      <c r="M15" s="3"/>
      <c r="N15" s="3"/>
      <c r="O15" s="3"/>
      <c r="P15" s="3"/>
      <c r="Q15" s="3"/>
      <c r="R15" s="3"/>
      <c r="S15" s="3"/>
      <c r="T15" s="5" t="s">
        <v>19</v>
      </c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5">
        <v>13</v>
      </c>
      <c r="F16" s="3"/>
      <c r="G16" s="3"/>
      <c r="H16" s="3"/>
      <c r="I16" s="3"/>
      <c r="J16" s="3"/>
      <c r="K16" s="4"/>
      <c r="L16" s="3"/>
      <c r="M16" s="3"/>
      <c r="N16" s="3"/>
      <c r="O16" s="5">
        <v>17</v>
      </c>
      <c r="P16" s="3"/>
      <c r="Q16" s="3"/>
      <c r="R16" s="3"/>
      <c r="S16" s="3"/>
      <c r="T16" s="3"/>
      <c r="U16" s="3"/>
      <c r="V16" s="5">
        <v>12</v>
      </c>
      <c r="W16" s="3"/>
      <c r="X16" s="3"/>
    </row>
    <row r="17" spans="1:24" x14ac:dyDescent="0.25">
      <c r="A17" s="3"/>
      <c r="B17" s="3"/>
      <c r="C17" s="3"/>
      <c r="D17" s="3"/>
      <c r="E17" s="5" t="s">
        <v>21</v>
      </c>
      <c r="F17" s="3"/>
      <c r="G17" s="3"/>
      <c r="H17" s="3"/>
      <c r="I17" s="3"/>
      <c r="J17" s="5">
        <v>15</v>
      </c>
      <c r="K17" s="5" t="s">
        <v>23</v>
      </c>
      <c r="L17" s="3"/>
      <c r="M17" s="3"/>
      <c r="N17" s="3"/>
      <c r="O17" s="5" t="s">
        <v>48</v>
      </c>
      <c r="P17" s="3"/>
      <c r="Q17" s="3"/>
      <c r="R17" s="3"/>
      <c r="S17" s="4">
        <v>10</v>
      </c>
      <c r="T17" s="3"/>
      <c r="U17" s="3"/>
      <c r="V17" s="5" t="s">
        <v>20</v>
      </c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4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">
        <v>9</v>
      </c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4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  <c r="P20" s="3"/>
      <c r="Q20" s="5">
        <v>18</v>
      </c>
      <c r="R20" s="5" t="s">
        <v>25</v>
      </c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4"/>
      <c r="E21" s="3"/>
      <c r="F21" s="3"/>
      <c r="G21" s="3"/>
      <c r="H21" s="5">
        <v>22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5">
        <v>19</v>
      </c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5" t="s">
        <v>30</v>
      </c>
      <c r="I22" s="3"/>
      <c r="J22" s="3"/>
      <c r="K22" s="3"/>
      <c r="L22" s="5">
        <v>16</v>
      </c>
      <c r="M22" s="3"/>
      <c r="N22" s="3"/>
      <c r="O22" s="3"/>
      <c r="P22" s="3"/>
      <c r="Q22" s="3"/>
      <c r="R22" s="3"/>
      <c r="S22" s="3"/>
      <c r="T22" s="3"/>
      <c r="U22" s="5" t="s">
        <v>26</v>
      </c>
      <c r="V22" s="3"/>
      <c r="W22" s="4">
        <v>11</v>
      </c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5" t="s">
        <v>24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4"/>
      <c r="X23" s="3"/>
    </row>
    <row r="24" spans="1:24" x14ac:dyDescent="0.25">
      <c r="A24" s="3"/>
      <c r="B24" s="3"/>
      <c r="C24" s="3"/>
      <c r="D24" s="3"/>
      <c r="E24" s="5">
        <v>21</v>
      </c>
      <c r="F24" s="3"/>
      <c r="G24" s="3"/>
      <c r="H24" s="3"/>
      <c r="I24" s="3"/>
      <c r="J24" s="3"/>
      <c r="K24" s="3"/>
      <c r="L24" s="3"/>
      <c r="M24" s="3"/>
      <c r="N24" s="5">
        <v>24</v>
      </c>
      <c r="O24" s="3"/>
      <c r="P24" s="3"/>
      <c r="Q24" s="3"/>
      <c r="R24" s="3"/>
      <c r="S24" s="3"/>
      <c r="T24" s="5">
        <v>27</v>
      </c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5" t="s">
        <v>29</v>
      </c>
      <c r="F25" s="3"/>
      <c r="G25" s="3"/>
      <c r="H25" s="3"/>
      <c r="I25" s="3"/>
      <c r="J25" s="3"/>
      <c r="K25" s="3"/>
      <c r="L25" s="3"/>
      <c r="M25" s="3"/>
      <c r="N25" s="5" t="s">
        <v>32</v>
      </c>
      <c r="O25" s="3"/>
      <c r="P25" s="3"/>
      <c r="Q25" s="3"/>
      <c r="R25" s="3"/>
      <c r="S25" s="3"/>
      <c r="T25" s="5" t="s">
        <v>34</v>
      </c>
      <c r="U25" s="3"/>
      <c r="V25" s="3"/>
      <c r="W25" s="3"/>
      <c r="X25" s="3"/>
    </row>
    <row r="26" spans="1:24" x14ac:dyDescent="0.25">
      <c r="A26" s="3"/>
      <c r="B26" s="3"/>
      <c r="C26" s="3"/>
      <c r="D26" s="5">
        <v>20</v>
      </c>
      <c r="E26" s="3"/>
      <c r="F26" s="3"/>
      <c r="G26" s="4">
        <v>13</v>
      </c>
      <c r="H26" s="3"/>
      <c r="I26" s="3"/>
      <c r="J26" s="3"/>
      <c r="K26" s="3"/>
      <c r="L26" s="3"/>
      <c r="M26" s="4">
        <v>14</v>
      </c>
      <c r="N26" s="3"/>
      <c r="O26" s="3"/>
      <c r="P26" s="3"/>
      <c r="Q26" s="3"/>
      <c r="R26" s="3"/>
      <c r="S26" s="5">
        <v>26</v>
      </c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5" t="s">
        <v>27</v>
      </c>
      <c r="E27" s="3"/>
      <c r="F27" s="3"/>
      <c r="G27" s="4"/>
      <c r="H27" s="3"/>
      <c r="I27" s="3"/>
      <c r="J27" s="3"/>
      <c r="K27" s="3"/>
      <c r="L27" s="3"/>
      <c r="M27" s="4"/>
      <c r="N27" s="3"/>
      <c r="O27" s="3"/>
      <c r="P27" s="3"/>
      <c r="Q27" s="5">
        <v>25</v>
      </c>
      <c r="R27" s="3"/>
      <c r="S27" s="5" t="s">
        <v>47</v>
      </c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5">
        <v>23</v>
      </c>
      <c r="K28" s="5" t="s">
        <v>31</v>
      </c>
      <c r="L28" s="3"/>
      <c r="M28" s="3"/>
      <c r="N28" s="3"/>
      <c r="O28" s="3"/>
      <c r="P28" s="3"/>
      <c r="Q28" s="5" t="s">
        <v>33</v>
      </c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5">
        <v>28</v>
      </c>
      <c r="G29" s="3"/>
      <c r="H29" s="3"/>
      <c r="I29" s="3"/>
      <c r="J29" s="3"/>
      <c r="K29" s="3"/>
      <c r="L29" s="3"/>
      <c r="M29" s="3"/>
      <c r="N29" s="5">
        <v>31</v>
      </c>
      <c r="O29" s="3"/>
      <c r="P29" s="3"/>
      <c r="Q29" s="3"/>
      <c r="R29" s="4">
        <v>16</v>
      </c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5" t="s">
        <v>35</v>
      </c>
      <c r="G30" s="3"/>
      <c r="H30" s="3"/>
      <c r="I30" s="3"/>
      <c r="J30" s="3"/>
      <c r="K30" s="3"/>
      <c r="L30" s="3"/>
      <c r="M30" s="3"/>
      <c r="N30" s="5" t="s">
        <v>38</v>
      </c>
      <c r="O30" s="3"/>
      <c r="P30" s="3"/>
      <c r="Q30" s="3"/>
      <c r="R30" s="4"/>
      <c r="S30" s="3"/>
      <c r="T30" s="3"/>
      <c r="U30" s="3"/>
      <c r="V30" s="4">
        <v>17</v>
      </c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>
        <v>15</v>
      </c>
      <c r="P31" s="3"/>
      <c r="Q31" s="3"/>
      <c r="R31" s="3"/>
      <c r="S31" s="3"/>
      <c r="T31" s="3"/>
      <c r="U31" s="3"/>
      <c r="V31" s="4"/>
      <c r="W31" s="3"/>
      <c r="X31" s="3"/>
    </row>
    <row r="32" spans="1:24" x14ac:dyDescent="0.25">
      <c r="A32" s="3"/>
      <c r="B32" s="3"/>
      <c r="C32" s="3"/>
      <c r="D32" s="3"/>
      <c r="E32" s="3"/>
      <c r="F32" s="4">
        <v>12</v>
      </c>
      <c r="G32" s="3"/>
      <c r="H32" s="3"/>
      <c r="I32" s="5">
        <v>29</v>
      </c>
      <c r="J32" s="3"/>
      <c r="K32" s="5">
        <v>30</v>
      </c>
      <c r="L32" s="3"/>
      <c r="M32" s="3"/>
      <c r="N32" s="3"/>
      <c r="O32" s="4"/>
      <c r="P32" s="3"/>
      <c r="Q32" s="5">
        <v>32</v>
      </c>
      <c r="R32" s="3"/>
      <c r="S32" s="3"/>
      <c r="T32" s="5">
        <v>33</v>
      </c>
      <c r="U32" s="5" t="s">
        <v>46</v>
      </c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4"/>
      <c r="G33" s="3"/>
      <c r="H33" s="3"/>
      <c r="I33" s="5" t="s">
        <v>36</v>
      </c>
      <c r="J33" s="3"/>
      <c r="K33" s="5" t="s">
        <v>37</v>
      </c>
      <c r="L33" s="3"/>
      <c r="M33" s="3"/>
      <c r="N33" s="3"/>
      <c r="O33" s="3"/>
      <c r="P33" s="3"/>
      <c r="Q33" s="5" t="s">
        <v>39</v>
      </c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5">
        <v>40</v>
      </c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4">
        <v>20</v>
      </c>
      <c r="J36" s="3"/>
      <c r="K36" s="3"/>
      <c r="L36" s="3"/>
      <c r="M36" s="3"/>
      <c r="N36" s="3"/>
      <c r="O36" s="3"/>
      <c r="P36" s="3"/>
      <c r="Q36" s="3"/>
      <c r="R36" s="3"/>
      <c r="S36" s="5" t="s">
        <v>45</v>
      </c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5">
        <v>34</v>
      </c>
      <c r="E37" s="3"/>
      <c r="F37" s="5">
        <v>35</v>
      </c>
      <c r="G37" s="3"/>
      <c r="H37" s="3"/>
      <c r="I37" s="4"/>
      <c r="J37" s="3"/>
      <c r="K37" s="3"/>
      <c r="L37" s="3"/>
      <c r="M37" s="3"/>
      <c r="N37" s="3"/>
      <c r="O37" s="3"/>
      <c r="P37" s="3"/>
      <c r="Q37" s="3"/>
      <c r="R37" s="5">
        <v>39</v>
      </c>
      <c r="S37" s="3"/>
      <c r="T37" s="7"/>
      <c r="U37" s="3"/>
      <c r="V37" s="3"/>
      <c r="W37" s="3"/>
      <c r="X37" s="3"/>
    </row>
    <row r="38" spans="1:24" x14ac:dyDescent="0.25">
      <c r="A38" s="3"/>
      <c r="B38" s="3"/>
      <c r="C38" s="3"/>
      <c r="D38" s="5" t="s">
        <v>40</v>
      </c>
      <c r="E38" s="3"/>
      <c r="F38" s="5" t="s">
        <v>41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5" t="s">
        <v>49</v>
      </c>
      <c r="S38" s="3"/>
      <c r="T38" s="7"/>
      <c r="U38" s="5">
        <v>41</v>
      </c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5">
        <v>37</v>
      </c>
      <c r="L39" s="3"/>
      <c r="M39" s="3"/>
      <c r="N39" s="3"/>
      <c r="O39" s="3"/>
      <c r="P39" s="3"/>
      <c r="Q39" s="3"/>
      <c r="R39" s="3"/>
      <c r="S39" s="3"/>
      <c r="T39" s="3"/>
      <c r="U39" s="5" t="s">
        <v>50</v>
      </c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5">
        <v>36</v>
      </c>
      <c r="I40" s="3"/>
      <c r="J40" s="3"/>
      <c r="K40" s="5" t="s">
        <v>43</v>
      </c>
      <c r="L40" s="3"/>
      <c r="M40" s="3"/>
      <c r="N40" s="5">
        <v>38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3"/>
      <c r="B41" s="3"/>
      <c r="C41" s="3"/>
      <c r="D41" s="3"/>
      <c r="E41" s="3"/>
      <c r="F41" s="3"/>
      <c r="G41" s="3"/>
      <c r="H41" s="5" t="s">
        <v>42</v>
      </c>
      <c r="I41" s="3"/>
      <c r="J41" s="3"/>
      <c r="K41" s="3"/>
      <c r="L41" s="3"/>
      <c r="M41" s="3"/>
      <c r="N41" s="5" t="s">
        <v>44</v>
      </c>
      <c r="O41" s="3"/>
      <c r="P41" s="3"/>
      <c r="Q41" s="3"/>
      <c r="R41" s="4">
        <v>22</v>
      </c>
      <c r="S41" s="3"/>
      <c r="T41" s="3"/>
      <c r="U41" s="3"/>
      <c r="V41" s="3"/>
      <c r="W41" s="3"/>
      <c r="X41" s="3"/>
    </row>
    <row r="42" spans="1:2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4">
        <v>21</v>
      </c>
      <c r="N42" s="3"/>
      <c r="O42" s="3"/>
      <c r="P42" s="3"/>
      <c r="Q42" s="3"/>
      <c r="R42" s="4"/>
      <c r="S42" s="3"/>
      <c r="T42" s="3"/>
      <c r="U42" s="4">
        <v>23</v>
      </c>
      <c r="V42" s="3"/>
      <c r="W42" s="3"/>
      <c r="X42" s="3"/>
    </row>
    <row r="43" spans="1:24" x14ac:dyDescent="0.25">
      <c r="A43" s="3"/>
      <c r="B43" s="3"/>
      <c r="C43" s="3"/>
      <c r="D43" s="3"/>
      <c r="E43" s="3"/>
      <c r="F43" s="3"/>
      <c r="G43" s="3"/>
      <c r="H43" s="4">
        <v>19</v>
      </c>
      <c r="I43" s="3"/>
      <c r="J43" s="3"/>
      <c r="K43" s="3"/>
      <c r="L43" s="3"/>
      <c r="M43" s="4"/>
      <c r="N43" s="3"/>
      <c r="O43" s="3"/>
      <c r="P43" s="3"/>
      <c r="Q43" s="3"/>
      <c r="R43" s="3"/>
      <c r="S43" s="3"/>
      <c r="T43" s="3"/>
      <c r="U43" s="4"/>
      <c r="V43" s="3"/>
      <c r="W43" s="3"/>
      <c r="X43" s="3"/>
    </row>
    <row r="44" spans="1:24" x14ac:dyDescent="0.25">
      <c r="A44" s="3"/>
      <c r="B44" s="3"/>
      <c r="C44" s="3"/>
      <c r="D44" s="4">
        <v>18</v>
      </c>
      <c r="E44" s="3"/>
      <c r="F44" s="3"/>
      <c r="G44" s="3"/>
      <c r="H44" s="4"/>
      <c r="I44" s="3"/>
      <c r="J44" s="3"/>
      <c r="K44" s="3"/>
      <c r="L44" s="3"/>
      <c r="M44" s="3"/>
      <c r="N44" s="3"/>
      <c r="O44" s="5">
        <v>47</v>
      </c>
      <c r="P44" s="5" t="s">
        <v>56</v>
      </c>
      <c r="Q44" s="3"/>
      <c r="R44" s="3"/>
      <c r="S44" s="5">
        <v>48</v>
      </c>
      <c r="T44" s="5" t="s">
        <v>57</v>
      </c>
      <c r="U44" s="3"/>
      <c r="V44" s="3"/>
      <c r="W44" s="3"/>
      <c r="X44" s="3"/>
    </row>
    <row r="45" spans="1:24" x14ac:dyDescent="0.25">
      <c r="A45" s="3"/>
      <c r="B45" s="3"/>
      <c r="C45" s="3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x14ac:dyDescent="0.25">
      <c r="A46" s="3"/>
      <c r="B46" s="3"/>
      <c r="C46" s="3"/>
      <c r="D46" s="3"/>
      <c r="E46" s="3"/>
      <c r="F46" s="3"/>
      <c r="G46" s="3"/>
      <c r="H46" s="5">
        <v>45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x14ac:dyDescent="0.25">
      <c r="A47" s="3"/>
      <c r="B47" s="3"/>
      <c r="C47" s="3"/>
      <c r="D47" s="3"/>
      <c r="E47" s="3"/>
      <c r="F47" s="3"/>
      <c r="G47" s="3"/>
      <c r="H47" s="5" t="s">
        <v>54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x14ac:dyDescent="0.25">
      <c r="A48" s="3"/>
      <c r="B48" s="3"/>
      <c r="C48" s="5">
        <v>42</v>
      </c>
      <c r="D48" s="3"/>
      <c r="E48" s="3"/>
      <c r="F48" s="5">
        <v>44</v>
      </c>
      <c r="G48" s="3"/>
      <c r="H48" s="3"/>
      <c r="I48" s="3"/>
      <c r="J48" s="3"/>
      <c r="K48" s="5">
        <v>46</v>
      </c>
      <c r="L48" s="5" t="s">
        <v>55</v>
      </c>
      <c r="M48" s="3"/>
      <c r="N48" s="3"/>
      <c r="O48" s="3"/>
      <c r="P48" s="3"/>
      <c r="Q48" s="3"/>
      <c r="R48" s="5">
        <v>55</v>
      </c>
      <c r="S48" s="3"/>
      <c r="T48" s="3"/>
      <c r="U48" s="5">
        <v>57</v>
      </c>
      <c r="V48" s="3"/>
      <c r="W48" s="3"/>
      <c r="X48" s="3"/>
    </row>
    <row r="49" spans="1:24" x14ac:dyDescent="0.25">
      <c r="A49" s="3"/>
      <c r="B49" s="3"/>
      <c r="C49" s="5" t="s">
        <v>51</v>
      </c>
      <c r="D49" s="3"/>
      <c r="E49" s="3"/>
      <c r="F49" s="5" t="s">
        <v>53</v>
      </c>
      <c r="G49" s="3"/>
      <c r="H49" s="3"/>
      <c r="I49" s="3"/>
      <c r="J49" s="3"/>
      <c r="K49" s="3"/>
      <c r="L49" s="3"/>
      <c r="M49" s="3"/>
      <c r="N49" s="5">
        <v>53</v>
      </c>
      <c r="O49" s="3"/>
      <c r="P49" s="3"/>
      <c r="Q49" s="3"/>
      <c r="R49" s="5" t="s">
        <v>63</v>
      </c>
      <c r="S49" s="3"/>
      <c r="T49" s="3"/>
      <c r="U49" s="5" t="s">
        <v>65</v>
      </c>
      <c r="V49" s="3"/>
      <c r="W49" s="3"/>
      <c r="X49" s="3"/>
    </row>
    <row r="50" spans="1:24" x14ac:dyDescent="0.25">
      <c r="A50" s="3"/>
      <c r="B50" s="3"/>
      <c r="C50" s="3"/>
      <c r="D50" s="5">
        <v>43</v>
      </c>
      <c r="E50" s="5" t="s">
        <v>52</v>
      </c>
      <c r="F50" s="3"/>
      <c r="G50" s="3"/>
      <c r="H50" s="3"/>
      <c r="I50" s="3"/>
      <c r="J50" s="4">
        <v>26</v>
      </c>
      <c r="K50" s="3"/>
      <c r="L50" s="3"/>
      <c r="M50" s="3"/>
      <c r="N50" s="5" t="s">
        <v>61</v>
      </c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25">
      <c r="A51" s="3"/>
      <c r="B51" s="3"/>
      <c r="C51" s="3"/>
      <c r="D51" s="7"/>
      <c r="E51" s="3"/>
      <c r="F51" s="3"/>
      <c r="G51" s="3"/>
      <c r="H51" s="3"/>
      <c r="I51" s="3"/>
      <c r="J51" s="4"/>
      <c r="K51" s="3"/>
      <c r="L51" s="3"/>
      <c r="M51" s="5">
        <v>52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5" t="s">
        <v>60</v>
      </c>
      <c r="N52" s="3"/>
      <c r="O52" s="3"/>
      <c r="P52" s="3"/>
      <c r="Q52" s="4">
        <v>28</v>
      </c>
      <c r="R52" s="3"/>
      <c r="S52" s="3"/>
      <c r="T52" s="3"/>
      <c r="U52" s="3"/>
      <c r="V52" s="3"/>
      <c r="W52" s="3"/>
      <c r="X52" s="3"/>
    </row>
    <row r="53" spans="1:24" x14ac:dyDescent="0.25">
      <c r="A53" s="3"/>
      <c r="B53" s="3"/>
      <c r="C53" s="3"/>
      <c r="D53" s="3"/>
      <c r="E53" s="3"/>
      <c r="F53" s="3"/>
      <c r="G53" s="5">
        <v>50</v>
      </c>
      <c r="H53" s="5" t="s">
        <v>77</v>
      </c>
      <c r="I53" s="3"/>
      <c r="J53" s="3"/>
      <c r="K53" s="5">
        <v>51</v>
      </c>
      <c r="L53" s="3"/>
      <c r="M53" s="3"/>
      <c r="N53" s="3"/>
      <c r="O53" s="3"/>
      <c r="P53" s="3"/>
      <c r="Q53" s="4"/>
      <c r="R53" s="3"/>
      <c r="S53" s="3"/>
      <c r="T53" s="3"/>
      <c r="U53" s="3"/>
      <c r="V53" s="3"/>
      <c r="W53" s="3"/>
      <c r="X53" s="3"/>
    </row>
    <row r="54" spans="1:24" x14ac:dyDescent="0.25">
      <c r="A54" s="3"/>
      <c r="B54" s="3"/>
      <c r="C54" s="4">
        <v>24</v>
      </c>
      <c r="D54" s="5">
        <v>49</v>
      </c>
      <c r="E54" s="3"/>
      <c r="F54" s="4">
        <v>25</v>
      </c>
      <c r="G54" s="3"/>
      <c r="H54" s="3"/>
      <c r="I54" s="3"/>
      <c r="J54" s="3"/>
      <c r="K54" s="5" t="s">
        <v>59</v>
      </c>
      <c r="L54" s="3"/>
      <c r="M54" s="3"/>
      <c r="N54" s="3"/>
      <c r="O54" s="3"/>
      <c r="P54" s="3"/>
      <c r="Q54" s="3"/>
      <c r="R54" s="3"/>
      <c r="S54" s="5">
        <v>56</v>
      </c>
      <c r="T54" s="5" t="s">
        <v>64</v>
      </c>
      <c r="U54" s="3"/>
      <c r="V54" s="3"/>
      <c r="W54" s="3"/>
      <c r="X54" s="3"/>
    </row>
    <row r="55" spans="1:24" x14ac:dyDescent="0.25">
      <c r="A55" s="3"/>
      <c r="B55" s="3"/>
      <c r="C55" s="4"/>
      <c r="D55" s="5" t="s">
        <v>58</v>
      </c>
      <c r="E55" s="3"/>
      <c r="F55" s="4"/>
      <c r="G55" s="3"/>
      <c r="H55" s="3"/>
      <c r="I55" s="3"/>
      <c r="J55" s="3"/>
      <c r="K55" s="3"/>
      <c r="L55" s="3"/>
      <c r="M55" s="3"/>
      <c r="N55" s="3"/>
      <c r="O55" s="3"/>
      <c r="P55" s="5">
        <v>54</v>
      </c>
      <c r="Q55" s="5" t="s">
        <v>62</v>
      </c>
      <c r="R55" s="3"/>
      <c r="S55" s="3"/>
      <c r="T55" s="3"/>
      <c r="U55" s="4">
        <v>35</v>
      </c>
      <c r="V55" s="3"/>
      <c r="W55" s="3"/>
      <c r="X55" s="3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5">
        <v>61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"/>
      <c r="V56" s="3"/>
      <c r="W56" s="3"/>
      <c r="X56" s="3"/>
    </row>
    <row r="57" spans="1:24" x14ac:dyDescent="0.25">
      <c r="A57" s="3"/>
      <c r="B57" s="3"/>
      <c r="C57" s="3"/>
      <c r="D57" s="3"/>
      <c r="E57" s="3"/>
      <c r="F57" s="3"/>
      <c r="G57" s="3"/>
      <c r="H57" s="3"/>
      <c r="I57" s="5" t="s">
        <v>69</v>
      </c>
      <c r="J57" s="3"/>
      <c r="K57" s="3"/>
      <c r="L57" s="4">
        <v>27</v>
      </c>
      <c r="M57" s="3"/>
      <c r="N57" s="3"/>
      <c r="O57" s="4">
        <v>33</v>
      </c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25">
      <c r="A58" s="3"/>
      <c r="B58" s="3"/>
      <c r="C58" s="5">
        <v>58</v>
      </c>
      <c r="D58" s="3"/>
      <c r="E58" s="3"/>
      <c r="F58" s="3"/>
      <c r="G58" s="5">
        <v>60</v>
      </c>
      <c r="H58" s="3"/>
      <c r="I58" s="3"/>
      <c r="J58" s="3"/>
      <c r="K58" s="3"/>
      <c r="L58" s="4"/>
      <c r="M58" s="3"/>
      <c r="N58" s="3"/>
      <c r="O58" s="4"/>
      <c r="P58" s="3"/>
      <c r="Q58" s="3"/>
      <c r="R58" s="3"/>
      <c r="S58" s="3"/>
      <c r="T58" s="5">
        <v>69</v>
      </c>
      <c r="U58" s="3"/>
      <c r="V58" s="3"/>
      <c r="W58" s="3"/>
      <c r="X58" s="3"/>
    </row>
    <row r="59" spans="1:24" x14ac:dyDescent="0.25">
      <c r="A59" s="3"/>
      <c r="B59" s="3"/>
      <c r="C59" s="5" t="s">
        <v>66</v>
      </c>
      <c r="D59" s="3"/>
      <c r="E59" s="3"/>
      <c r="F59" s="3"/>
      <c r="G59" s="5" t="s">
        <v>68</v>
      </c>
      <c r="H59" s="3"/>
      <c r="I59" s="3"/>
      <c r="J59" s="3"/>
      <c r="K59" s="5">
        <v>62</v>
      </c>
      <c r="L59" s="3"/>
      <c r="M59" s="3"/>
      <c r="N59" s="3"/>
      <c r="O59" s="3"/>
      <c r="P59" s="3"/>
      <c r="Q59" s="3"/>
      <c r="R59" s="3"/>
      <c r="S59" s="3"/>
      <c r="T59" s="5" t="s">
        <v>76</v>
      </c>
      <c r="U59" s="3"/>
      <c r="V59" s="3"/>
      <c r="W59" s="3"/>
      <c r="X59" s="3"/>
    </row>
    <row r="60" spans="1:24" x14ac:dyDescent="0.25">
      <c r="A60" s="3"/>
      <c r="B60" s="3"/>
      <c r="C60" s="3"/>
      <c r="D60" s="3"/>
      <c r="E60" s="5">
        <v>59</v>
      </c>
      <c r="F60" s="3"/>
      <c r="G60" s="3"/>
      <c r="H60" s="3"/>
      <c r="I60" s="3"/>
      <c r="J60" s="3"/>
      <c r="K60" s="5" t="s">
        <v>70</v>
      </c>
      <c r="L60" s="5">
        <v>63</v>
      </c>
      <c r="M60" s="3"/>
      <c r="N60" s="5">
        <v>67</v>
      </c>
      <c r="O60" s="3"/>
      <c r="P60" s="3"/>
      <c r="Q60" s="5">
        <v>68</v>
      </c>
      <c r="R60" s="3"/>
      <c r="S60" s="3"/>
      <c r="T60" s="3"/>
      <c r="U60" s="3"/>
      <c r="V60" s="3"/>
      <c r="W60" s="3"/>
      <c r="X60" s="3"/>
    </row>
    <row r="61" spans="1:24" x14ac:dyDescent="0.25">
      <c r="A61" s="3"/>
      <c r="B61" s="3"/>
      <c r="C61" s="4">
        <v>29</v>
      </c>
      <c r="D61" s="3"/>
      <c r="E61" s="5" t="s">
        <v>67</v>
      </c>
      <c r="F61" s="3"/>
      <c r="G61" s="3"/>
      <c r="H61" s="3"/>
      <c r="I61" s="3"/>
      <c r="J61" s="3"/>
      <c r="K61" s="3"/>
      <c r="L61" s="5" t="s">
        <v>71</v>
      </c>
      <c r="M61" s="3"/>
      <c r="N61" s="5" t="s">
        <v>74</v>
      </c>
      <c r="O61" s="3"/>
      <c r="P61" s="3"/>
      <c r="Q61" s="5" t="s">
        <v>75</v>
      </c>
      <c r="R61" s="3"/>
      <c r="S61" s="3"/>
      <c r="T61" s="3"/>
      <c r="U61" s="3"/>
      <c r="V61" s="3"/>
      <c r="W61" s="3"/>
      <c r="X61" s="3"/>
    </row>
    <row r="62" spans="1:24" x14ac:dyDescent="0.25">
      <c r="A62" s="3"/>
      <c r="B62" s="3"/>
      <c r="C62" s="4"/>
      <c r="D62" s="3"/>
      <c r="E62" s="3"/>
      <c r="F62" s="3"/>
      <c r="G62" s="3"/>
      <c r="H62" s="4">
        <v>31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25">
      <c r="A63" s="3"/>
      <c r="B63" s="3"/>
      <c r="C63" s="3"/>
      <c r="D63" s="5">
        <v>64</v>
      </c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x14ac:dyDescent="0.25">
      <c r="A64" s="3"/>
      <c r="B64" s="3"/>
      <c r="C64" s="3"/>
      <c r="D64" s="5" t="s">
        <v>72</v>
      </c>
      <c r="E64" s="3"/>
      <c r="F64" s="3"/>
      <c r="G64" s="3"/>
      <c r="H64" s="3"/>
      <c r="I64" s="3"/>
      <c r="J64" s="5">
        <v>66</v>
      </c>
      <c r="K64" s="3"/>
      <c r="L64" s="3"/>
      <c r="M64" s="3"/>
      <c r="N64" s="3"/>
      <c r="O64" s="3"/>
      <c r="P64" s="3"/>
      <c r="Q64" s="3"/>
      <c r="R64" s="4">
        <v>34</v>
      </c>
      <c r="S64" s="3"/>
      <c r="T64" s="3"/>
      <c r="U64" s="3"/>
      <c r="V64" s="3"/>
      <c r="W64" s="3"/>
      <c r="X64" s="3"/>
    </row>
    <row r="65" spans="1:24" x14ac:dyDescent="0.25">
      <c r="A65" s="3"/>
      <c r="B65" s="3"/>
      <c r="C65" s="3"/>
      <c r="D65" s="3"/>
      <c r="E65" s="3"/>
      <c r="F65" s="5">
        <v>65</v>
      </c>
      <c r="G65" s="5" t="s">
        <v>73</v>
      </c>
      <c r="H65" s="3"/>
      <c r="I65" s="3"/>
      <c r="J65" s="5" t="s">
        <v>78</v>
      </c>
      <c r="K65" s="3"/>
      <c r="L65" s="3"/>
      <c r="M65" s="3"/>
      <c r="N65" s="3"/>
      <c r="O65" s="3"/>
      <c r="P65" s="3"/>
      <c r="Q65" s="3"/>
      <c r="R65" s="4"/>
      <c r="S65" s="3"/>
      <c r="T65" s="3"/>
      <c r="U65" s="3"/>
      <c r="V65" s="3"/>
      <c r="W65" s="3"/>
      <c r="X65" s="3"/>
    </row>
    <row r="66" spans="1:24" x14ac:dyDescent="0.25">
      <c r="A66" s="3"/>
      <c r="B66" s="3"/>
      <c r="C66" s="3"/>
      <c r="D66" s="3"/>
      <c r="E66" s="4">
        <v>30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x14ac:dyDescent="0.25">
      <c r="A67" s="3"/>
      <c r="B67" s="3"/>
      <c r="C67" s="3"/>
      <c r="D67" s="3"/>
      <c r="E67" s="4"/>
      <c r="F67" s="3"/>
      <c r="G67" s="3"/>
      <c r="H67" s="3"/>
      <c r="I67" s="3"/>
      <c r="J67" s="3"/>
      <c r="K67" s="3"/>
      <c r="L67" s="4">
        <v>32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71" spans="1:2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5">
      <c r="A74" s="2"/>
      <c r="B74" s="2"/>
      <c r="C74" s="2" t="s">
        <v>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 t="s">
        <v>6</v>
      </c>
      <c r="Q74" s="2">
        <v>3200</v>
      </c>
      <c r="R74" s="2"/>
      <c r="S74" s="2"/>
      <c r="T74" s="2"/>
      <c r="U74" s="2"/>
      <c r="V74" s="2"/>
      <c r="W74" s="2"/>
      <c r="X74" s="2"/>
    </row>
    <row r="75" spans="1:24" x14ac:dyDescent="0.25">
      <c r="A75" s="2"/>
      <c r="B75" s="2"/>
      <c r="C75" s="2" t="s">
        <v>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 t="s">
        <v>7</v>
      </c>
      <c r="Q75" s="2">
        <v>2930</v>
      </c>
      <c r="R75" s="2">
        <f>Q74-Q75</f>
        <v>270</v>
      </c>
      <c r="S75" s="2"/>
      <c r="T75" s="2"/>
      <c r="U75" s="2"/>
      <c r="V75" s="2"/>
      <c r="W75" s="2"/>
      <c r="X75" s="2"/>
    </row>
    <row r="76" spans="1:2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5">
      <c r="A77" s="2"/>
      <c r="B77" s="2"/>
      <c r="C77" s="2" t="s">
        <v>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 t="s">
        <v>8</v>
      </c>
      <c r="Q77" s="2"/>
      <c r="R77" s="2"/>
      <c r="S77" s="2"/>
      <c r="T77" s="2"/>
      <c r="U77" s="2"/>
      <c r="V77" s="2"/>
      <c r="W77" s="2"/>
      <c r="X77" s="2"/>
    </row>
    <row r="78" spans="1:24" x14ac:dyDescent="0.25">
      <c r="A78" s="2"/>
      <c r="B78" s="2"/>
      <c r="C78" s="2"/>
      <c r="D78" s="2"/>
      <c r="E78" s="2" t="s">
        <v>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5">
      <c r="A79" s="2"/>
      <c r="B79" s="2" t="s">
        <v>4</v>
      </c>
      <c r="C79" s="2">
        <v>460</v>
      </c>
      <c r="D79" s="2">
        <v>865</v>
      </c>
      <c r="E79" s="2">
        <f>D79-C79</f>
        <v>405</v>
      </c>
      <c r="F79" s="2"/>
      <c r="G79" s="2">
        <v>405</v>
      </c>
      <c r="H79" s="2">
        <f>G79/(G79+G80)</f>
        <v>0.83850931677018636</v>
      </c>
      <c r="I79" s="2"/>
      <c r="J79" s="2">
        <f>13*H79</f>
        <v>10.900621118012422</v>
      </c>
      <c r="K79" s="2"/>
      <c r="L79" s="2"/>
      <c r="M79" s="2"/>
      <c r="N79" s="2"/>
      <c r="O79" s="2"/>
      <c r="P79" s="2">
        <v>2401</v>
      </c>
      <c r="Q79" s="2"/>
      <c r="R79" s="2"/>
      <c r="S79" s="2"/>
      <c r="T79" s="2"/>
      <c r="U79" s="2"/>
      <c r="V79" s="2"/>
      <c r="W79" s="2"/>
      <c r="X79" s="2"/>
    </row>
    <row r="80" spans="1:24" x14ac:dyDescent="0.25">
      <c r="A80" s="2"/>
      <c r="B80" s="2" t="s">
        <v>5</v>
      </c>
      <c r="C80" s="2">
        <v>285</v>
      </c>
      <c r="D80" s="2">
        <v>207</v>
      </c>
      <c r="E80" s="2">
        <f>D80-C80</f>
        <v>-78</v>
      </c>
      <c r="F80" s="2"/>
      <c r="G80" s="2">
        <v>78</v>
      </c>
      <c r="H80" s="2">
        <f>G80/(G80+G79)</f>
        <v>0.16149068322981366</v>
      </c>
      <c r="I80" s="2"/>
      <c r="J80" s="2">
        <f>13*H80</f>
        <v>2.0993788819875778</v>
      </c>
      <c r="K80" s="2"/>
      <c r="L80" s="2"/>
      <c r="M80" s="2"/>
      <c r="N80" s="2"/>
      <c r="O80" s="2"/>
      <c r="P80" s="2">
        <f>-P79/3200*270+P79</f>
        <v>2198.4156250000001</v>
      </c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5">
      <c r="A82" s="2"/>
      <c r="B82" s="2"/>
      <c r="C82" s="2">
        <v>460</v>
      </c>
      <c r="D82" s="2">
        <f>C82+J80</f>
        <v>462.0993788819876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5">
      <c r="A83" s="2"/>
      <c r="B83" s="2"/>
      <c r="C83" s="2">
        <v>285</v>
      </c>
      <c r="D83" s="2">
        <f>C83+J79</f>
        <v>295.9006211180124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5">
      <c r="A85" s="2"/>
      <c r="B85" s="2"/>
      <c r="C85" s="2">
        <v>865</v>
      </c>
      <c r="D85" s="2">
        <f>C85+J80</f>
        <v>867.0993788819876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5">
      <c r="A86" s="2"/>
      <c r="B86" s="2"/>
      <c r="C86" s="2">
        <v>207</v>
      </c>
      <c r="D86" s="2">
        <f>C86+J79</f>
        <v>217.90062111801242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</sheetData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2023-10-13T04:54:03Z</dcterms:modified>
</cp:coreProperties>
</file>